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74fad4a6aaa291/Ambiente de Trabalho/PII/PL/Documentos Entrega/"/>
    </mc:Choice>
  </mc:AlternateContent>
  <xr:revisionPtr revIDLastSave="2" documentId="13_ncr:1_{20002156-7B38-0148-A352-6979F7890A69}" xr6:coauthVersionLast="47" xr6:coauthVersionMax="47" xr10:uidLastSave="{AB443B1B-0A7D-4C6E-A424-7465698EB307}"/>
  <bookViews>
    <workbookView xWindow="-108" yWindow="-108" windowWidth="23256" windowHeight="13176" xr2:uid="{906C3672-ED94-4841-8DA1-0F0E4A616A5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3" i="1"/>
</calcChain>
</file>

<file path=xl/sharedStrings.xml><?xml version="1.0" encoding="utf-8"?>
<sst xmlns="http://schemas.openxmlformats.org/spreadsheetml/2006/main" count="21" uniqueCount="21">
  <si>
    <t>Tarefa</t>
  </si>
  <si>
    <t>Inicio</t>
  </si>
  <si>
    <t>Fim</t>
  </si>
  <si>
    <t>Duração</t>
  </si>
  <si>
    <t>Estado da Arte e Design Técnico</t>
  </si>
  <si>
    <t>Revisão de literatura e soluções comerciais</t>
  </si>
  <si>
    <t>Desenho final do esquema elétrico (Barramento)</t>
  </si>
  <si>
    <t>Aquisição e Sensing (ESP32 #1)</t>
  </si>
  <si>
    <t>Montagem física dos sensores AC/DC</t>
  </si>
  <si>
    <t>Calibração de leituras e código MQTT</t>
  </si>
  <si>
    <t>Controlo e Barramento DC (ESP32 #2)</t>
  </si>
  <si>
    <t>Montagem dos conversores e proteções</t>
  </si>
  <si>
    <t>Programação do controlo PID (Estabilização)</t>
  </si>
  <si>
    <t>Inteligência e APIs (Raspberry Pi)</t>
  </si>
  <si>
    <t>Integração API OMIE e Meteorologia</t>
  </si>
  <si>
    <t>Desenvolvimento do Algoritmo de Arbitragem</t>
  </si>
  <si>
    <t>Desenvolvimento do Dashboard (Node-RED/Grafana)</t>
  </si>
  <si>
    <t>Integração, Dashboard e Testes</t>
  </si>
  <si>
    <t>Testes de stress e validação de poupança</t>
  </si>
  <si>
    <t>Relatório Final e Apresentação,</t>
  </si>
  <si>
    <t>Redação do relatório técnico e conclusões,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</si>
</sst>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3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" fontId="1" fillId="2" borderId="3" xfId="0" applyNumberFormat="1" applyFont="1" applyFill="1" applyBorder="1" applyAlignment="1">
      <alignment horizontal="center" textRotation="90" shrinkToFi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71CD-73E5-E547-AB0B-E9F43FEEF888}">
  <dimension ref="B2:DQ19"/>
  <sheetViews>
    <sheetView tabSelected="1" zoomScale="69" zoomScaleNormal="131" workbookViewId="0">
      <selection activeCell="N28" sqref="N28"/>
    </sheetView>
  </sheetViews>
  <sheetFormatPr defaultColWidth="11.19921875" defaultRowHeight="15.6" x14ac:dyDescent="0.3"/>
  <cols>
    <col min="2" max="2" width="46" customWidth="1"/>
    <col min="6" max="119" width="4.796875" bestFit="1" customWidth="1"/>
    <col min="120" max="120" width="4.796875" customWidth="1"/>
    <col min="121" max="121" width="4.796875" bestFit="1" customWidth="1"/>
  </cols>
  <sheetData>
    <row r="2" spans="2:121" ht="41.4" x14ac:dyDescent="0.3">
      <c r="B2" s="1" t="s">
        <v>0</v>
      </c>
      <c r="C2" s="1" t="s">
        <v>1</v>
      </c>
      <c r="D2" s="1" t="s">
        <v>2</v>
      </c>
      <c r="E2" s="1" t="s">
        <v>3</v>
      </c>
      <c r="F2" s="14">
        <v>46083</v>
      </c>
      <c r="G2" s="14">
        <v>46084</v>
      </c>
      <c r="H2" s="14">
        <v>46085</v>
      </c>
      <c r="I2" s="14">
        <v>46086</v>
      </c>
      <c r="J2" s="14">
        <v>46087</v>
      </c>
      <c r="K2" s="14">
        <v>46088</v>
      </c>
      <c r="L2" s="14">
        <v>46089</v>
      </c>
      <c r="M2" s="14">
        <v>46090</v>
      </c>
      <c r="N2" s="14">
        <v>46091</v>
      </c>
      <c r="O2" s="14">
        <v>46092</v>
      </c>
      <c r="P2" s="14">
        <v>46093</v>
      </c>
      <c r="Q2" s="14">
        <v>46094</v>
      </c>
      <c r="R2" s="14">
        <v>46095</v>
      </c>
      <c r="S2" s="14">
        <v>46096</v>
      </c>
      <c r="T2" s="14">
        <v>46097</v>
      </c>
      <c r="U2" s="14">
        <v>46098</v>
      </c>
      <c r="V2" s="14">
        <v>46099</v>
      </c>
      <c r="W2" s="14">
        <v>46100</v>
      </c>
      <c r="X2" s="14">
        <v>46101</v>
      </c>
      <c r="Y2" s="14">
        <v>46102</v>
      </c>
      <c r="Z2" s="14">
        <v>46103</v>
      </c>
      <c r="AA2" s="14">
        <v>46104</v>
      </c>
      <c r="AB2" s="14">
        <v>46105</v>
      </c>
      <c r="AC2" s="14">
        <v>46106</v>
      </c>
      <c r="AD2" s="14">
        <v>46107</v>
      </c>
      <c r="AE2" s="14">
        <v>46108</v>
      </c>
      <c r="AF2" s="14">
        <v>46109</v>
      </c>
      <c r="AG2" s="14">
        <v>46110</v>
      </c>
      <c r="AH2" s="14">
        <v>46111</v>
      </c>
      <c r="AI2" s="14">
        <v>46112</v>
      </c>
      <c r="AJ2" s="14">
        <v>46113</v>
      </c>
      <c r="AK2" s="14">
        <v>46114</v>
      </c>
      <c r="AL2" s="14">
        <v>46115</v>
      </c>
      <c r="AM2" s="14">
        <v>46116</v>
      </c>
      <c r="AN2" s="14">
        <v>46117</v>
      </c>
      <c r="AO2" s="14">
        <v>46118</v>
      </c>
      <c r="AP2" s="14">
        <v>46119</v>
      </c>
      <c r="AQ2" s="14">
        <v>46120</v>
      </c>
      <c r="AR2" s="14">
        <v>46121</v>
      </c>
      <c r="AS2" s="14">
        <v>46122</v>
      </c>
      <c r="AT2" s="14">
        <v>46123</v>
      </c>
      <c r="AU2" s="14">
        <v>46124</v>
      </c>
      <c r="AV2" s="14">
        <v>46125</v>
      </c>
      <c r="AW2" s="14">
        <v>46126</v>
      </c>
      <c r="AX2" s="14">
        <v>46127</v>
      </c>
      <c r="AY2" s="14">
        <v>46128</v>
      </c>
      <c r="AZ2" s="14">
        <v>46129</v>
      </c>
      <c r="BA2" s="14">
        <v>46130</v>
      </c>
      <c r="BB2" s="14">
        <v>46131</v>
      </c>
      <c r="BC2" s="14">
        <v>46132</v>
      </c>
      <c r="BD2" s="14">
        <v>46133</v>
      </c>
      <c r="BE2" s="14">
        <v>46134</v>
      </c>
      <c r="BF2" s="14">
        <v>46135</v>
      </c>
      <c r="BG2" s="14">
        <v>46136</v>
      </c>
      <c r="BH2" s="14">
        <v>46137</v>
      </c>
      <c r="BI2" s="14">
        <v>46138</v>
      </c>
      <c r="BJ2" s="14">
        <v>46139</v>
      </c>
      <c r="BK2" s="14">
        <v>46140</v>
      </c>
      <c r="BL2" s="14">
        <v>46141</v>
      </c>
      <c r="BM2" s="14">
        <v>46142</v>
      </c>
      <c r="BN2" s="14">
        <v>46143</v>
      </c>
      <c r="BO2" s="14">
        <v>46144</v>
      </c>
      <c r="BP2" s="14">
        <v>46145</v>
      </c>
      <c r="BQ2" s="14">
        <v>46146</v>
      </c>
      <c r="BR2" s="14">
        <v>46147</v>
      </c>
      <c r="BS2" s="14">
        <v>46148</v>
      </c>
      <c r="BT2" s="14">
        <v>46149</v>
      </c>
      <c r="BU2" s="14">
        <v>46150</v>
      </c>
      <c r="BV2" s="14">
        <v>46151</v>
      </c>
      <c r="BW2" s="14">
        <v>46152</v>
      </c>
      <c r="BX2" s="14">
        <v>46153</v>
      </c>
      <c r="BY2" s="14">
        <v>46154</v>
      </c>
      <c r="BZ2" s="14">
        <v>46155</v>
      </c>
      <c r="CA2" s="14">
        <v>46156</v>
      </c>
      <c r="CB2" s="14">
        <v>46157</v>
      </c>
      <c r="CC2" s="14">
        <v>46158</v>
      </c>
      <c r="CD2" s="14">
        <v>46159</v>
      </c>
      <c r="CE2" s="14">
        <v>46160</v>
      </c>
      <c r="CF2" s="14">
        <v>46161</v>
      </c>
      <c r="CG2" s="14">
        <v>46162</v>
      </c>
      <c r="CH2" s="14">
        <v>46163</v>
      </c>
      <c r="CI2" s="14">
        <v>46164</v>
      </c>
      <c r="CJ2" s="14">
        <v>46165</v>
      </c>
      <c r="CK2" s="14">
        <v>46166</v>
      </c>
      <c r="CL2" s="14">
        <v>46167</v>
      </c>
      <c r="CM2" s="14">
        <v>46168</v>
      </c>
      <c r="CN2" s="14">
        <v>46169</v>
      </c>
      <c r="CO2" s="14">
        <v>46170</v>
      </c>
      <c r="CP2" s="14">
        <v>46171</v>
      </c>
      <c r="CQ2" s="14">
        <v>46172</v>
      </c>
      <c r="CR2" s="14">
        <v>46173</v>
      </c>
      <c r="CS2" s="14">
        <v>46174</v>
      </c>
      <c r="CT2" s="14">
        <v>46175</v>
      </c>
      <c r="CU2" s="14">
        <v>46176</v>
      </c>
      <c r="CV2" s="14">
        <v>46177</v>
      </c>
      <c r="CW2" s="14">
        <v>46178</v>
      </c>
      <c r="CX2" s="14">
        <v>46179</v>
      </c>
      <c r="CY2" s="14">
        <v>46180</v>
      </c>
      <c r="CZ2" s="14">
        <v>46181</v>
      </c>
      <c r="DA2" s="14">
        <v>46182</v>
      </c>
      <c r="DB2" s="14">
        <v>46183</v>
      </c>
      <c r="DC2" s="14">
        <v>46184</v>
      </c>
      <c r="DD2" s="14">
        <v>46185</v>
      </c>
      <c r="DE2" s="14">
        <v>46186</v>
      </c>
      <c r="DF2" s="14">
        <v>46187</v>
      </c>
      <c r="DG2" s="14">
        <v>46188</v>
      </c>
      <c r="DH2" s="14">
        <v>46189</v>
      </c>
      <c r="DI2" s="14">
        <v>46190</v>
      </c>
      <c r="DJ2" s="14">
        <v>46191</v>
      </c>
      <c r="DK2" s="14">
        <v>46192</v>
      </c>
      <c r="DL2" s="14">
        <v>46193</v>
      </c>
      <c r="DM2" s="14">
        <v>46194</v>
      </c>
      <c r="DN2" s="14">
        <v>46195</v>
      </c>
      <c r="DO2" s="14">
        <v>46196</v>
      </c>
      <c r="DP2" s="14">
        <v>46197</v>
      </c>
      <c r="DQ2" s="14">
        <v>46198</v>
      </c>
    </row>
    <row r="3" spans="2:121" x14ac:dyDescent="0.3">
      <c r="B3" s="11" t="s">
        <v>4</v>
      </c>
      <c r="C3" s="12">
        <v>46083</v>
      </c>
      <c r="D3" s="12">
        <v>46096</v>
      </c>
      <c r="E3" s="13">
        <f>D3-C3</f>
        <v>13</v>
      </c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10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3"/>
    </row>
    <row r="4" spans="2:121" x14ac:dyDescent="0.3">
      <c r="B4" s="11" t="s">
        <v>5</v>
      </c>
      <c r="C4" s="12">
        <v>46083</v>
      </c>
      <c r="D4" s="12">
        <v>46089</v>
      </c>
      <c r="E4" s="13">
        <f t="shared" ref="E4:E19" si="0">D4-C4</f>
        <v>6</v>
      </c>
      <c r="F4" s="8"/>
      <c r="G4" s="9"/>
      <c r="H4" s="9"/>
      <c r="I4" s="9"/>
      <c r="J4" s="9"/>
      <c r="K4" s="9"/>
      <c r="L4" s="10"/>
      <c r="DQ4" s="5"/>
    </row>
    <row r="5" spans="2:121" x14ac:dyDescent="0.3">
      <c r="B5" s="11" t="s">
        <v>6</v>
      </c>
      <c r="C5" s="12">
        <v>46090</v>
      </c>
      <c r="D5" s="12">
        <v>46096</v>
      </c>
      <c r="E5" s="13">
        <f t="shared" si="0"/>
        <v>6</v>
      </c>
      <c r="F5" s="4"/>
      <c r="M5" s="8"/>
      <c r="N5" s="9"/>
      <c r="O5" s="9"/>
      <c r="P5" s="9"/>
      <c r="Q5" s="9"/>
      <c r="R5" s="9"/>
      <c r="S5" s="10"/>
      <c r="DQ5" s="5"/>
    </row>
    <row r="6" spans="2:121" x14ac:dyDescent="0.3">
      <c r="B6" s="11" t="s">
        <v>7</v>
      </c>
      <c r="C6" s="12">
        <v>46097</v>
      </c>
      <c r="D6" s="12">
        <v>46117</v>
      </c>
      <c r="E6" s="13">
        <f t="shared" si="0"/>
        <v>20</v>
      </c>
      <c r="F6" s="4"/>
      <c r="T6" s="8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10"/>
      <c r="DQ6" s="5"/>
    </row>
    <row r="7" spans="2:121" x14ac:dyDescent="0.3">
      <c r="B7" s="11" t="s">
        <v>8</v>
      </c>
      <c r="C7" s="12">
        <v>46097</v>
      </c>
      <c r="D7" s="12">
        <v>46103</v>
      </c>
      <c r="E7" s="13">
        <f t="shared" si="0"/>
        <v>6</v>
      </c>
      <c r="F7" s="4"/>
      <c r="T7" s="8"/>
      <c r="U7" s="9"/>
      <c r="V7" s="9"/>
      <c r="W7" s="9"/>
      <c r="X7" s="9"/>
      <c r="Y7" s="9"/>
      <c r="Z7" s="10"/>
      <c r="DQ7" s="5"/>
    </row>
    <row r="8" spans="2:121" x14ac:dyDescent="0.3">
      <c r="B8" s="11" t="s">
        <v>9</v>
      </c>
      <c r="C8" s="12">
        <v>46104</v>
      </c>
      <c r="D8" s="12">
        <v>46117</v>
      </c>
      <c r="E8" s="13">
        <f t="shared" si="0"/>
        <v>13</v>
      </c>
      <c r="F8" s="4"/>
      <c r="AA8" s="8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10"/>
      <c r="DQ8" s="5"/>
    </row>
    <row r="9" spans="2:121" x14ac:dyDescent="0.3">
      <c r="B9" s="11" t="s">
        <v>10</v>
      </c>
      <c r="C9" s="12">
        <v>46118</v>
      </c>
      <c r="D9" s="12">
        <v>46152</v>
      </c>
      <c r="E9" s="13">
        <f t="shared" si="0"/>
        <v>34</v>
      </c>
      <c r="F9" s="4"/>
      <c r="AO9" s="8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10"/>
      <c r="DQ9" s="5"/>
    </row>
    <row r="10" spans="2:121" x14ac:dyDescent="0.3">
      <c r="B10" s="11" t="s">
        <v>11</v>
      </c>
      <c r="C10" s="12">
        <v>46118</v>
      </c>
      <c r="D10" s="12">
        <v>46131</v>
      </c>
      <c r="E10" s="13">
        <f t="shared" si="0"/>
        <v>13</v>
      </c>
      <c r="F10" s="4"/>
      <c r="AO10" s="8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10"/>
      <c r="DQ10" s="5"/>
    </row>
    <row r="11" spans="2:121" x14ac:dyDescent="0.3">
      <c r="B11" s="11" t="s">
        <v>12</v>
      </c>
      <c r="C11" s="12">
        <v>46132</v>
      </c>
      <c r="D11" s="12">
        <v>46152</v>
      </c>
      <c r="E11" s="13">
        <f t="shared" si="0"/>
        <v>20</v>
      </c>
      <c r="F11" s="4"/>
      <c r="BC11" s="8"/>
      <c r="BD11" s="9"/>
      <c r="BE11" s="9"/>
      <c r="BF11" s="9"/>
      <c r="BG11" s="9"/>
      <c r="BH11" s="9"/>
      <c r="BI11" s="9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3"/>
      <c r="DQ11" s="5"/>
    </row>
    <row r="12" spans="2:121" x14ac:dyDescent="0.3">
      <c r="B12" s="11" t="s">
        <v>13</v>
      </c>
      <c r="C12" s="12">
        <v>46139</v>
      </c>
      <c r="D12" s="12">
        <v>46166</v>
      </c>
      <c r="E12" s="13">
        <f t="shared" si="0"/>
        <v>27</v>
      </c>
      <c r="F12" s="4"/>
      <c r="BJ12" s="8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10"/>
      <c r="DQ12" s="5"/>
    </row>
    <row r="13" spans="2:121" x14ac:dyDescent="0.3">
      <c r="B13" s="11" t="s">
        <v>14</v>
      </c>
      <c r="C13" s="12">
        <v>46139</v>
      </c>
      <c r="D13" s="12">
        <v>46152</v>
      </c>
      <c r="E13" s="13">
        <f t="shared" si="0"/>
        <v>13</v>
      </c>
      <c r="F13" s="4"/>
      <c r="BJ13" s="8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10"/>
      <c r="DQ13" s="5"/>
    </row>
    <row r="14" spans="2:121" x14ac:dyDescent="0.3">
      <c r="B14" s="11" t="s">
        <v>15</v>
      </c>
      <c r="C14" s="12">
        <v>46153</v>
      </c>
      <c r="D14" s="12">
        <v>46166</v>
      </c>
      <c r="E14" s="13">
        <f t="shared" si="0"/>
        <v>13</v>
      </c>
      <c r="F14" s="4"/>
      <c r="BX14" s="8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10"/>
      <c r="DQ14" s="5"/>
    </row>
    <row r="15" spans="2:121" x14ac:dyDescent="0.3">
      <c r="B15" s="11" t="s">
        <v>17</v>
      </c>
      <c r="C15" s="12">
        <v>46167</v>
      </c>
      <c r="D15" s="12">
        <v>46188</v>
      </c>
      <c r="E15" s="13">
        <f t="shared" si="0"/>
        <v>21</v>
      </c>
      <c r="F15" s="4"/>
      <c r="CL15" s="8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10"/>
      <c r="DQ15" s="5"/>
    </row>
    <row r="16" spans="2:121" x14ac:dyDescent="0.3">
      <c r="B16" s="11" t="s">
        <v>16</v>
      </c>
      <c r="C16" s="12">
        <v>46167</v>
      </c>
      <c r="D16" s="12">
        <v>46180</v>
      </c>
      <c r="E16" s="13">
        <f t="shared" si="0"/>
        <v>13</v>
      </c>
      <c r="F16" s="4"/>
      <c r="CL16" s="8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10"/>
      <c r="DQ16" s="5"/>
    </row>
    <row r="17" spans="2:121" x14ac:dyDescent="0.3">
      <c r="B17" s="11" t="s">
        <v>18</v>
      </c>
      <c r="C17" s="12">
        <v>46181</v>
      </c>
      <c r="D17" s="12">
        <v>46188</v>
      </c>
      <c r="E17" s="13">
        <f t="shared" si="0"/>
        <v>7</v>
      </c>
      <c r="F17" s="4"/>
      <c r="CZ17" s="8"/>
      <c r="DA17" s="9"/>
      <c r="DB17" s="9"/>
      <c r="DC17" s="9"/>
      <c r="DD17" s="9"/>
      <c r="DE17" s="9"/>
      <c r="DF17" s="9"/>
      <c r="DG17" s="10"/>
      <c r="DQ17" s="5"/>
    </row>
    <row r="18" spans="2:121" x14ac:dyDescent="0.3">
      <c r="B18" s="11" t="s">
        <v>19</v>
      </c>
      <c r="C18" s="12">
        <v>46189</v>
      </c>
      <c r="D18" s="12">
        <v>46198</v>
      </c>
      <c r="E18" s="13">
        <f t="shared" si="0"/>
        <v>9</v>
      </c>
      <c r="F18" s="4"/>
      <c r="DH18" s="8"/>
      <c r="DI18" s="9"/>
      <c r="DJ18" s="9"/>
      <c r="DK18" s="9"/>
      <c r="DL18" s="9"/>
      <c r="DM18" s="9"/>
      <c r="DN18" s="9"/>
      <c r="DO18" s="9"/>
      <c r="DP18" s="9"/>
      <c r="DQ18" s="10"/>
    </row>
    <row r="19" spans="2:121" x14ac:dyDescent="0.3">
      <c r="B19" s="11" t="s">
        <v>20</v>
      </c>
      <c r="C19" s="12">
        <v>46189</v>
      </c>
      <c r="D19" s="12">
        <v>46198</v>
      </c>
      <c r="E19" s="13">
        <f t="shared" si="0"/>
        <v>9</v>
      </c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8"/>
      <c r="DI19" s="9"/>
      <c r="DJ19" s="9"/>
      <c r="DK19" s="9"/>
      <c r="DL19" s="9"/>
      <c r="DM19" s="9"/>
      <c r="DN19" s="9"/>
      <c r="DO19" s="9"/>
      <c r="DP19" s="9"/>
      <c r="DQ19" s="10"/>
    </row>
  </sheetData>
  <phoneticPr fontId="2" type="noConversion"/>
  <conditionalFormatting sqref="F3:DQ19">
    <cfRule type="expression" dxfId="2" priority="1">
      <formula>AND(F$2&gt;=$C3,F$2&lt;=$D3)</formula>
    </cfRule>
    <cfRule type="expression" dxfId="1" priority="2">
      <formula>AND(F$2&gt;=$C3,F$2&lt;=$D3)</formula>
    </cfRule>
    <cfRule type="expression" dxfId="0" priority="3">
      <formula>AND(E$1&gt;=$B2,E$1&lt;=$C2)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António Cabral Cavaleiro Costa e Almeida</dc:creator>
  <cp:lastModifiedBy>Guilherme Serra</cp:lastModifiedBy>
  <dcterms:created xsi:type="dcterms:W3CDTF">2026-03-01T16:03:14Z</dcterms:created>
  <dcterms:modified xsi:type="dcterms:W3CDTF">2026-03-01T19:55:40Z</dcterms:modified>
</cp:coreProperties>
</file>